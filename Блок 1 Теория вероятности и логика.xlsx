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akarovavv\Desktop\Младший аналитик данных\"/>
    </mc:Choice>
  </mc:AlternateContent>
  <xr:revisionPtr revIDLastSave="0" documentId="13_ncr:1_{28B54506-976E-441E-B5D9-B7EB1FFAC45F}" xr6:coauthVersionLast="47" xr6:coauthVersionMax="47" xr10:uidLastSave="{00000000-0000-0000-0000-000000000000}"/>
  <bookViews>
    <workbookView xWindow="11424" yWindow="0" windowWidth="11712" windowHeight="12336" activeTab="2" xr2:uid="{00000000-000D-0000-FFFF-FFFF00000000}"/>
  </bookViews>
  <sheets>
    <sheet name="Задание 1  Фермер" sheetId="1" r:id="rId1"/>
    <sheet name="Задание 2 Кулинарное соревнова" sheetId="3" r:id="rId2"/>
    <sheet name="Задание 3 Одинокая дорога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5" l="1"/>
  <c r="E18" i="5"/>
  <c r="E19" i="5"/>
  <c r="E17" i="5"/>
  <c r="D19" i="5"/>
  <c r="D17" i="5"/>
  <c r="C18" i="5"/>
  <c r="D18" i="5" s="1"/>
  <c r="C19" i="5"/>
  <c r="C17" i="5"/>
  <c r="D15" i="5"/>
  <c r="H13" i="5"/>
  <c r="B17" i="3"/>
  <c r="E16" i="3"/>
  <c r="E14" i="3"/>
  <c r="B11" i="1"/>
</calcChain>
</file>

<file path=xl/sharedStrings.xml><?xml version="1.0" encoding="utf-8"?>
<sst xmlns="http://schemas.openxmlformats.org/spreadsheetml/2006/main" count="35" uniqueCount="31">
  <si>
    <t>Задание 1: Фермер</t>
  </si>
  <si>
    <t>На ферме содержатся шесть разных видов животных, и каждый раз, когда фермер заходит в сарай, он видит одно случайное животное. За день фермер заходит в сарай 6 раз.</t>
  </si>
  <si>
    <t>Каково математическое ожидание количества разных видов животных, которые фермер увидит за день?</t>
  </si>
  <si>
    <t>Разные виды животных(n)</t>
  </si>
  <si>
    <t>Число заходов в сарай(k)</t>
  </si>
  <si>
    <t>Задание 2: Кулинарное соревнование</t>
  </si>
  <si>
    <t>В конкурсе участвуют 80 шеф-поваров с уникальными уровнями мастерства. В первом этапе судьи случайным образом распределяют их по парам (в любом состязании двух шефов выигрывает тот, у кого выше уровень мастерства). На втором этапе шефы снова случайно образуют пары для финального раунда (пары могут повториться). Победную награду получают те, кто выиграл в обоих этапах.</t>
  </si>
  <si>
    <t>Каково математическое ожидание числа победителей?</t>
  </si>
  <si>
    <t>Ответ округлить до десятых, например: 33,5</t>
  </si>
  <si>
    <t>Ответ округлить до сотых, например: 4,12</t>
  </si>
  <si>
    <t>Решение:</t>
  </si>
  <si>
    <t>Кол-во шеф-поваров(n)</t>
  </si>
  <si>
    <t>Пара(k)</t>
  </si>
  <si>
    <t>Первый этап</t>
  </si>
  <si>
    <t>Кол-во победителей первого этапа</t>
  </si>
  <si>
    <t>Второй этап</t>
  </si>
  <si>
    <t>Вероятность выиграть второй этап</t>
  </si>
  <si>
    <t>Задание 3: Одинокая дорога</t>
  </si>
  <si>
    <t>На пустынном шоссе вероятность появления автомобиля за 30-минутный период составляет 0.95.</t>
  </si>
  <si>
    <t>Какова вероятность его появления за 10 минут? А за 27 минут?</t>
  </si>
  <si>
    <t>Ответ дать в процентах, округлив до десятых через точку с запятой, например: 42,7; 95,0</t>
  </si>
  <si>
    <t>Период, мин(n)</t>
  </si>
  <si>
    <t>Вероятность появления автомобиля за 30-минутный период(k)</t>
  </si>
  <si>
    <t>Вероятность не появления автомобиля за 30-минутный период(p)</t>
  </si>
  <si>
    <t>Интенсивность</t>
  </si>
  <si>
    <t>Вероятность НЕ увидеть за t минут</t>
  </si>
  <si>
    <t>t1</t>
  </si>
  <si>
    <t>t2</t>
  </si>
  <si>
    <t>t3</t>
  </si>
  <si>
    <t>Вероятность увидеть за t минут</t>
  </si>
  <si>
    <t>Ответ: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</si>
</sst>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Arial"/>
      <family val="2"/>
      <charset val="204"/>
    </font>
    <font>
      <sz val="12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1"/>
      <color rgb="FF99999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 applyAlignment="1">
      <alignment horizontal="justify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3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1" fillId="0" borderId="0" xfId="1" applyNumberFormat="1" applyFont="1"/>
    <xf numFmtId="0" fontId="3" fillId="0" borderId="0" xfId="1" applyNumberFormat="1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workbookViewId="0">
      <selection activeCell="A12" sqref="A12"/>
    </sheetView>
  </sheetViews>
  <sheetFormatPr defaultRowHeight="14.4" x14ac:dyDescent="0.3"/>
  <sheetData>
    <row r="1" spans="1:13" ht="17.399999999999999" x14ac:dyDescent="0.3">
      <c r="A1" s="1" t="s">
        <v>0</v>
      </c>
    </row>
    <row r="2" spans="1:13" ht="15" customHeight="1" x14ac:dyDescent="0.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6"/>
      <c r="M2" s="6"/>
    </row>
    <row r="3" spans="1:13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6"/>
      <c r="M3" s="6"/>
    </row>
    <row r="4" spans="1:13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6"/>
      <c r="M4" s="6"/>
    </row>
    <row r="5" spans="1:13" x14ac:dyDescent="0.3">
      <c r="A5" s="8" t="s">
        <v>2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 x14ac:dyDescent="0.3">
      <c r="A6" s="10" t="s">
        <v>9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</row>
    <row r="7" spans="1:13" x14ac:dyDescent="0.3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</row>
    <row r="8" spans="1:13" x14ac:dyDescent="0.3">
      <c r="A8" s="10" t="s">
        <v>10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</row>
    <row r="9" spans="1:13" x14ac:dyDescent="0.3">
      <c r="A9" t="s">
        <v>3</v>
      </c>
      <c r="D9">
        <v>6</v>
      </c>
    </row>
    <row r="10" spans="1:13" x14ac:dyDescent="0.3">
      <c r="A10" t="s">
        <v>4</v>
      </c>
      <c r="D10">
        <v>6</v>
      </c>
    </row>
    <row r="11" spans="1:13" x14ac:dyDescent="0.3">
      <c r="A11" s="9" t="s">
        <v>30</v>
      </c>
      <c r="B11" s="9">
        <f>ROUND(D9*(1-((D9-1)/D9)^D10),2)</f>
        <v>3.99</v>
      </c>
    </row>
  </sheetData>
  <mergeCells count="1">
    <mergeCell ref="A2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E3101-1888-4998-9543-7B57DFAA49AD}">
  <dimension ref="A1:M17"/>
  <sheetViews>
    <sheetView workbookViewId="0">
      <selection activeCell="D23" sqref="D23"/>
    </sheetView>
  </sheetViews>
  <sheetFormatPr defaultRowHeight="14.4" x14ac:dyDescent="0.3"/>
  <sheetData>
    <row r="1" spans="1:13" ht="17.399999999999999" x14ac:dyDescent="0.3">
      <c r="A1" s="1" t="s">
        <v>5</v>
      </c>
    </row>
    <row r="2" spans="1:13" ht="15" customHeight="1" x14ac:dyDescent="0.3">
      <c r="A2" s="5" t="s">
        <v>6</v>
      </c>
      <c r="B2" s="5"/>
      <c r="C2" s="5"/>
      <c r="D2" s="5"/>
      <c r="E2" s="5"/>
      <c r="F2" s="5"/>
      <c r="G2" s="5"/>
      <c r="H2" s="5"/>
      <c r="I2" s="5"/>
      <c r="J2" s="5"/>
      <c r="K2" s="5"/>
      <c r="L2" s="6"/>
      <c r="M2" s="6"/>
    </row>
    <row r="3" spans="1:13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6"/>
      <c r="M3" s="6"/>
    </row>
    <row r="4" spans="1:13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6"/>
      <c r="M4" s="6"/>
    </row>
    <row r="5" spans="1:13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8"/>
      <c r="M5" s="8"/>
    </row>
    <row r="6" spans="1:13" ht="15" x14ac:dyDescent="0.3">
      <c r="A6" s="4" t="s">
        <v>7</v>
      </c>
      <c r="B6" s="4"/>
      <c r="C6" s="4"/>
      <c r="D6" s="4"/>
      <c r="E6" s="4"/>
      <c r="F6" s="4"/>
      <c r="G6" s="4"/>
      <c r="H6" s="4"/>
      <c r="I6" s="4"/>
      <c r="J6" s="4"/>
      <c r="K6" s="4"/>
      <c r="L6" s="8"/>
      <c r="M6" s="8"/>
    </row>
    <row r="7" spans="1:13" x14ac:dyDescent="0.3">
      <c r="A7" s="11" t="s">
        <v>8</v>
      </c>
      <c r="L7" s="8"/>
      <c r="M7" s="8"/>
    </row>
    <row r="8" spans="1:13" x14ac:dyDescent="0.3">
      <c r="B8" s="12"/>
      <c r="C8" s="12"/>
      <c r="D8" s="12"/>
      <c r="E8" s="7"/>
      <c r="F8" s="7"/>
      <c r="G8" s="7"/>
      <c r="H8" s="7"/>
      <c r="I8" s="7"/>
      <c r="J8" s="7"/>
      <c r="K8" s="7"/>
      <c r="L8" s="8"/>
      <c r="M8" s="8"/>
    </row>
    <row r="9" spans="1:13" x14ac:dyDescent="0.3">
      <c r="E9" s="8"/>
      <c r="F9" s="8"/>
      <c r="G9" s="8"/>
      <c r="H9" s="8"/>
      <c r="I9" s="8"/>
      <c r="J9" s="8"/>
      <c r="K9" s="8"/>
      <c r="L9" s="8"/>
      <c r="M9" s="8"/>
    </row>
    <row r="10" spans="1:13" x14ac:dyDescent="0.3">
      <c r="A10" s="10" t="s">
        <v>10</v>
      </c>
      <c r="B10" s="8"/>
      <c r="C10" s="8"/>
      <c r="D10" s="8"/>
    </row>
    <row r="11" spans="1:13" x14ac:dyDescent="0.3">
      <c r="A11" t="s">
        <v>11</v>
      </c>
      <c r="D11">
        <v>80</v>
      </c>
    </row>
    <row r="12" spans="1:13" x14ac:dyDescent="0.3">
      <c r="A12" t="s">
        <v>12</v>
      </c>
      <c r="D12">
        <v>2</v>
      </c>
    </row>
    <row r="13" spans="1:13" x14ac:dyDescent="0.3">
      <c r="A13" s="9" t="s">
        <v>13</v>
      </c>
      <c r="D13" s="9"/>
    </row>
    <row r="14" spans="1:13" x14ac:dyDescent="0.3">
      <c r="A14" t="s">
        <v>14</v>
      </c>
      <c r="E14">
        <f>D11/D12</f>
        <v>40</v>
      </c>
    </row>
    <row r="15" spans="1:13" x14ac:dyDescent="0.3">
      <c r="A15" s="9" t="s">
        <v>15</v>
      </c>
    </row>
    <row r="16" spans="1:13" x14ac:dyDescent="0.3">
      <c r="A16" t="s">
        <v>16</v>
      </c>
      <c r="E16">
        <f>1/2</f>
        <v>0.5</v>
      </c>
    </row>
    <row r="17" spans="1:6" x14ac:dyDescent="0.3">
      <c r="A17" s="9" t="s">
        <v>30</v>
      </c>
      <c r="B17" s="9">
        <f>E14*E16</f>
        <v>20</v>
      </c>
      <c r="C17" s="9"/>
      <c r="D17" s="9"/>
      <c r="E17" s="9"/>
      <c r="F17" s="9"/>
    </row>
  </sheetData>
  <mergeCells count="2">
    <mergeCell ref="A6:K6"/>
    <mergeCell ref="A2:K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34CF6-5735-41C0-BD95-2A6C29B80489}">
  <dimension ref="A1:M24"/>
  <sheetViews>
    <sheetView tabSelected="1" workbookViewId="0"/>
  </sheetViews>
  <sheetFormatPr defaultRowHeight="14.4" x14ac:dyDescent="0.3"/>
  <cols>
    <col min="3" max="3" width="13.21875" customWidth="1"/>
  </cols>
  <sheetData>
    <row r="1" spans="1:13" ht="17.399999999999999" x14ac:dyDescent="0.3">
      <c r="A1" s="1" t="s">
        <v>17</v>
      </c>
    </row>
    <row r="2" spans="1:13" ht="15" customHeight="1" x14ac:dyDescent="0.3">
      <c r="A2" s="5" t="s">
        <v>18</v>
      </c>
      <c r="B2" s="5"/>
      <c r="C2" s="5"/>
      <c r="D2" s="5"/>
      <c r="E2" s="5"/>
      <c r="F2" s="5"/>
      <c r="G2" s="5"/>
      <c r="H2" s="5"/>
      <c r="I2" s="5"/>
      <c r="J2" s="5"/>
      <c r="K2" s="5"/>
      <c r="L2" s="6"/>
      <c r="M2" s="6"/>
    </row>
    <row r="3" spans="1:13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6"/>
      <c r="M3" s="6"/>
    </row>
    <row r="4" spans="1:13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6"/>
      <c r="M4" s="6"/>
    </row>
    <row r="5" spans="1:13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8"/>
      <c r="M5" s="8"/>
    </row>
    <row r="6" spans="1:13" ht="15" x14ac:dyDescent="0.3">
      <c r="A6" s="4" t="s">
        <v>19</v>
      </c>
      <c r="B6" s="4"/>
      <c r="C6" s="4"/>
      <c r="D6" s="4"/>
      <c r="E6" s="4"/>
      <c r="F6" s="4"/>
      <c r="G6" s="4"/>
      <c r="H6" s="4"/>
      <c r="I6" s="4"/>
      <c r="J6" s="4"/>
      <c r="K6" s="4"/>
      <c r="L6" s="8"/>
      <c r="M6" s="8"/>
    </row>
    <row r="7" spans="1:13" x14ac:dyDescent="0.3">
      <c r="A7" s="10" t="s">
        <v>20</v>
      </c>
      <c r="L7" s="8"/>
      <c r="M7" s="8"/>
    </row>
    <row r="8" spans="1:13" x14ac:dyDescent="0.3">
      <c r="B8" s="12"/>
      <c r="C8" s="12"/>
      <c r="D8" s="12"/>
      <c r="E8" s="7"/>
      <c r="F8" s="7"/>
      <c r="G8" s="7"/>
      <c r="H8" s="7"/>
      <c r="I8" s="7"/>
      <c r="J8" s="7"/>
      <c r="K8" s="7"/>
      <c r="L8" s="8"/>
      <c r="M8" s="8"/>
    </row>
    <row r="9" spans="1:13" x14ac:dyDescent="0.3">
      <c r="E9" s="8"/>
      <c r="F9" s="8"/>
      <c r="G9" s="8"/>
      <c r="H9" s="8"/>
      <c r="I9" s="8"/>
      <c r="J9" s="8"/>
      <c r="K9" s="8"/>
      <c r="L9" s="8"/>
      <c r="M9" s="8"/>
    </row>
    <row r="10" spans="1:13" x14ac:dyDescent="0.3">
      <c r="A10" s="10" t="s">
        <v>10</v>
      </c>
      <c r="B10" s="8"/>
      <c r="C10" s="8"/>
      <c r="D10" s="8"/>
    </row>
    <row r="11" spans="1:13" x14ac:dyDescent="0.3">
      <c r="A11" t="s">
        <v>21</v>
      </c>
      <c r="D11">
        <v>30</v>
      </c>
    </row>
    <row r="12" spans="1:13" x14ac:dyDescent="0.3">
      <c r="A12" t="s">
        <v>22</v>
      </c>
      <c r="H12">
        <v>0.95</v>
      </c>
    </row>
    <row r="13" spans="1:13" x14ac:dyDescent="0.3">
      <c r="A13" t="s">
        <v>23</v>
      </c>
      <c r="D13" s="9"/>
      <c r="H13">
        <f>1-H12</f>
        <v>5.0000000000000044E-2</v>
      </c>
    </row>
    <row r="15" spans="1:13" x14ac:dyDescent="0.3">
      <c r="A15" s="13" t="s">
        <v>24</v>
      </c>
      <c r="D15">
        <f>-LN(H13)/D11</f>
        <v>9.9857742451799666E-2</v>
      </c>
    </row>
    <row r="16" spans="1:13" x14ac:dyDescent="0.3">
      <c r="A16" t="s">
        <v>25</v>
      </c>
      <c r="D16" t="s">
        <v>29</v>
      </c>
    </row>
    <row r="17" spans="1:11" x14ac:dyDescent="0.3">
      <c r="A17" s="13" t="s">
        <v>26</v>
      </c>
      <c r="B17" s="13">
        <v>10</v>
      </c>
      <c r="C17" s="14">
        <f>EXP(-$D$15*B17)</f>
        <v>0.36840314986403877</v>
      </c>
      <c r="D17" s="15">
        <f>1-C17</f>
        <v>0.63159685013596123</v>
      </c>
      <c r="E17" s="9">
        <f>ROUND(D17*100,1)</f>
        <v>63.2</v>
      </c>
      <c r="F17" s="9"/>
      <c r="G17" s="9"/>
    </row>
    <row r="18" spans="1:11" x14ac:dyDescent="0.3">
      <c r="A18" t="s">
        <v>27</v>
      </c>
      <c r="B18">
        <v>27</v>
      </c>
      <c r="C18" s="14">
        <f t="shared" ref="C18:C19" si="0">EXP(-$D$15*B18)</f>
        <v>6.7464142383678233E-2</v>
      </c>
      <c r="D18" s="15">
        <f t="shared" ref="D18:D19" si="1">1-C18</f>
        <v>0.93253585761632174</v>
      </c>
      <c r="E18" s="9">
        <f t="shared" ref="E18:E19" si="2">ROUND(D18*100,1)</f>
        <v>93.3</v>
      </c>
    </row>
    <row r="19" spans="1:11" x14ac:dyDescent="0.3">
      <c r="A19" t="s">
        <v>28</v>
      </c>
      <c r="B19">
        <v>30</v>
      </c>
      <c r="C19" s="14">
        <f t="shared" si="0"/>
        <v>5.0000000000000051E-2</v>
      </c>
      <c r="D19" s="15">
        <f t="shared" si="1"/>
        <v>0.95</v>
      </c>
      <c r="E19" s="9">
        <f t="shared" si="2"/>
        <v>95</v>
      </c>
    </row>
    <row r="20" spans="1:11" ht="15" x14ac:dyDescent="0.3">
      <c r="A20" s="9" t="s">
        <v>30</v>
      </c>
      <c r="B20" s="9" t="str">
        <f>TEXT(E17,"0,0")&amp;"; "&amp;TEXT(E18,"0,0")</f>
        <v>63,2; 93,3</v>
      </c>
      <c r="C20" s="3"/>
      <c r="D20" s="3"/>
      <c r="E20" s="3"/>
      <c r="F20" s="3"/>
      <c r="G20" s="3"/>
      <c r="H20" s="3"/>
      <c r="I20" s="3"/>
      <c r="J20" s="3"/>
      <c r="K20" s="3"/>
    </row>
    <row r="22" spans="1:11" ht="15" x14ac:dyDescent="0.3">
      <c r="A22" s="2"/>
    </row>
    <row r="23" spans="1:11" ht="15" x14ac:dyDescent="0.3">
      <c r="A23" s="2"/>
    </row>
    <row r="24" spans="1:11" x14ac:dyDescent="0.3">
      <c r="A24" s="10"/>
    </row>
  </sheetData>
  <mergeCells count="2">
    <mergeCell ref="A2:K5"/>
    <mergeCell ref="A6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Задание 1  Фермер</vt:lpstr>
      <vt:lpstr>Задание 2 Кулинарное соревнова</vt:lpstr>
      <vt:lpstr>Задание 3 Одинокая дорога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Валерия В. Макарова</dc:creator>
  <cp:lastModifiedBy>Валерия В. Макарова</cp:lastModifiedBy>
  <dcterms:created xsi:type="dcterms:W3CDTF">2015-06-05T18:19:34Z</dcterms:created>
  <dcterms:modified xsi:type="dcterms:W3CDTF">2026-02-18T12:48:23Z</dcterms:modified>
</cp:coreProperties>
</file>